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<sst xmlns="http://schemas.openxmlformats.org/spreadsheetml/2006/main" count="44" uniqueCount="44">
  <si>
    <t>Roll No</t>
  </si>
  <si>
    <t>Name</t>
  </si>
  <si>
    <t>Subject</t>
  </si>
  <si>
    <t>Theory ISA Marks</t>
  </si>
  <si>
    <t>Theory ISA Max</t>
  </si>
  <si>
    <t>Lab ISA Marks</t>
  </si>
  <si>
    <t>Lab ISA Max</t>
  </si>
  <si>
    <t>Total ISA</t>
  </si>
  <si>
    <t>SEA Marks (Calculated)</t>
  </si>
  <si>
    <t>SEA Max</t>
  </si>
  <si>
    <t>Grand Total</t>
  </si>
  <si>
    <t>Percentage</t>
  </si>
  <si>
    <t>Grade</t>
  </si>
  <si>
    <t>Grade Point</t>
  </si>
  <si>
    <t>ESHA LAXMAN KAMBLI</t>
  </si>
  <si>
    <t>DEVERSH PRASHANT SHETGAONKAR</t>
  </si>
  <si>
    <t>UNNAT ULHAS UMARYE</t>
  </si>
  <si>
    <t>ADHIT SHEKHAR AMONKAR</t>
  </si>
  <si>
    <t>SAHIL ANAND GAONKAR</t>
  </si>
  <si>
    <t>PRABHANJAN SUDHIR HALVEGAR</t>
  </si>
  <si>
    <t>SAMUEL SURESH BHANDARI</t>
  </si>
  <si>
    <t>SANIKA YADUVIR HOBLE</t>
  </si>
  <si>
    <t>SANGANA DINESH IBRAMPURKAR</t>
  </si>
  <si>
    <t>GOVARDHAN ASHOK PATIL</t>
  </si>
  <si>
    <t>ATHARV RAJIV GAWAS</t>
  </si>
  <si>
    <t>ATHARV TUSIDAS KAZARI</t>
  </si>
  <si>
    <t>MOHAL MANOHAR GAWAS</t>
  </si>
  <si>
    <t>SARASWATI ANAND SINGH CHAUHAN</t>
  </si>
  <si>
    <t>SHRIPAD SAGAR CHODANKAR</t>
  </si>
  <si>
    <t>AARCHI NILESH TELI</t>
  </si>
  <si>
    <t>RAKSHITA RAMA KUBAL</t>
  </si>
  <si>
    <t>PAVITRA DAVALURI</t>
  </si>
  <si>
    <t>SARVADHNYA SANDIP PATIL</t>
  </si>
  <si>
    <t>ATMARAM DIGAMBAR MAHALE</t>
  </si>
  <si>
    <t>JAY NAMDEV GAONKAR</t>
  </si>
  <si>
    <t>SAMANTHA MARIE COUTINHO</t>
  </si>
  <si>
    <t>TANISH TUSHAR SHIRODKAR</t>
  </si>
  <si>
    <t>AYUSHI SUNIL KAMRANI</t>
  </si>
  <si>
    <t>ROHAN RAMAKANT BANDODKAR</t>
  </si>
  <si>
    <t>SIDDHAVI MANOJ ARSEKAR</t>
  </si>
  <si>
    <t>HARSH NITIN PALYEKAR</t>
  </si>
  <si>
    <t>RUDRESH BABAN ACHARI</t>
  </si>
  <si>
    <t>ANJALI ARUN DESAI</t>
  </si>
  <si>
    <t>JENICE MONTEIRO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</si>
</sst>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4" numFmtId="0" xfId="0" applyFont="1"/>
    <xf borderId="0" fillId="0" fontId="4" numFmtId="0" xfId="0" applyAlignment="1" applyFont="1">
      <alignment horizontal="right"/>
    </xf>
    <xf borderId="0" fillId="0" fontId="4" numFmtId="2" xfId="0" applyFont="1" applyNumberFormat="1"/>
    <xf borderId="0" fillId="0" fontId="1" numFmtId="2" xfId="0" applyFont="1" applyNumberFormat="1"/>
    <xf borderId="0" fillId="0" fontId="2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2.75"/>
    <col customWidth="1" min="4" max="4" width="15.75"/>
    <col customWidth="1" min="5" max="5" width="14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>
        <v>2301.0</v>
      </c>
      <c r="B2" s="3" t="s">
        <v>14</v>
      </c>
      <c r="C2" s="4" t="str">
        <f t="shared" ref="C2:C31" si="1">"IMC 503"
</f>
        <v>IMC 503</v>
      </c>
      <c r="D2" s="4">
        <v>29.5</v>
      </c>
      <c r="E2" s="5" t="str">
        <f t="shared" ref="E2:E31" si="2">"30"</f>
        <v>30</v>
      </c>
      <c r="F2" s="6">
        <v>30.0</v>
      </c>
      <c r="G2" s="5" t="str">
        <f t="shared" ref="G2:G31" si="3">"30"</f>
        <v>30</v>
      </c>
      <c r="H2" s="7">
        <f t="shared" ref="H2:H31" si="4">D2+F2</f>
        <v>59.5</v>
      </c>
    </row>
    <row r="3">
      <c r="A3" s="8">
        <v>2302.0</v>
      </c>
      <c r="B3" s="3" t="s">
        <v>15</v>
      </c>
      <c r="C3" s="4" t="str">
        <f t="shared" si="1"/>
        <v>IMC 503</v>
      </c>
      <c r="D3" s="4">
        <v>27.0</v>
      </c>
      <c r="E3" s="5" t="str">
        <f t="shared" si="2"/>
        <v>30</v>
      </c>
      <c r="F3" s="6">
        <v>29.4</v>
      </c>
      <c r="G3" s="5" t="str">
        <f t="shared" si="3"/>
        <v>30</v>
      </c>
      <c r="H3" s="7">
        <f t="shared" si="4"/>
        <v>56.4</v>
      </c>
    </row>
    <row r="4">
      <c r="A4" s="8">
        <v>2303.0</v>
      </c>
      <c r="B4" s="3" t="s">
        <v>16</v>
      </c>
      <c r="C4" s="4" t="str">
        <f t="shared" si="1"/>
        <v>IMC 503</v>
      </c>
      <c r="D4" s="4">
        <v>28.0</v>
      </c>
      <c r="E4" s="5" t="str">
        <f t="shared" si="2"/>
        <v>30</v>
      </c>
      <c r="F4" s="6">
        <v>30.0</v>
      </c>
      <c r="G4" s="5" t="str">
        <f t="shared" si="3"/>
        <v>30</v>
      </c>
      <c r="H4" s="7">
        <f t="shared" si="4"/>
        <v>58</v>
      </c>
    </row>
    <row r="5">
      <c r="A5" s="8">
        <v>2304.0</v>
      </c>
      <c r="B5" s="3" t="s">
        <v>17</v>
      </c>
      <c r="C5" s="4" t="str">
        <f t="shared" si="1"/>
        <v>IMC 503</v>
      </c>
      <c r="D5" s="4">
        <v>26.0</v>
      </c>
      <c r="E5" s="5" t="str">
        <f t="shared" si="2"/>
        <v>30</v>
      </c>
      <c r="F5" s="6">
        <v>28.8</v>
      </c>
      <c r="G5" s="5" t="str">
        <f t="shared" si="3"/>
        <v>30</v>
      </c>
      <c r="H5" s="7">
        <f t="shared" si="4"/>
        <v>54.8</v>
      </c>
    </row>
    <row r="6">
      <c r="A6" s="8">
        <v>2305.0</v>
      </c>
      <c r="B6" s="3" t="s">
        <v>18</v>
      </c>
      <c r="C6" s="4" t="str">
        <f t="shared" si="1"/>
        <v>IMC 503</v>
      </c>
      <c r="D6" s="4">
        <v>27.5</v>
      </c>
      <c r="E6" s="5" t="str">
        <f t="shared" si="2"/>
        <v>30</v>
      </c>
      <c r="F6" s="6">
        <v>30.0</v>
      </c>
      <c r="G6" s="5" t="str">
        <f t="shared" si="3"/>
        <v>30</v>
      </c>
      <c r="H6" s="7">
        <f t="shared" si="4"/>
        <v>57.5</v>
      </c>
    </row>
    <row r="7">
      <c r="A7" s="8">
        <v>2306.0</v>
      </c>
      <c r="B7" s="3" t="s">
        <v>19</v>
      </c>
      <c r="C7" s="4" t="str">
        <f t="shared" si="1"/>
        <v>IMC 503</v>
      </c>
      <c r="D7" s="4">
        <v>27.5</v>
      </c>
      <c r="E7" s="5" t="str">
        <f t="shared" si="2"/>
        <v>30</v>
      </c>
      <c r="F7" s="6">
        <v>27.6</v>
      </c>
      <c r="G7" s="5" t="str">
        <f t="shared" si="3"/>
        <v>30</v>
      </c>
      <c r="H7" s="7">
        <f t="shared" si="4"/>
        <v>55.1</v>
      </c>
    </row>
    <row r="8">
      <c r="A8" s="8">
        <v>2308.0</v>
      </c>
      <c r="B8" s="3" t="s">
        <v>20</v>
      </c>
      <c r="C8" s="4" t="str">
        <f t="shared" si="1"/>
        <v>IMC 503</v>
      </c>
      <c r="D8" s="4">
        <v>25.5</v>
      </c>
      <c r="E8" s="5" t="str">
        <f t="shared" si="2"/>
        <v>30</v>
      </c>
      <c r="F8" s="6">
        <v>25.2</v>
      </c>
      <c r="G8" s="5" t="str">
        <f t="shared" si="3"/>
        <v>30</v>
      </c>
      <c r="H8" s="7">
        <f t="shared" si="4"/>
        <v>50.7</v>
      </c>
    </row>
    <row r="9">
      <c r="A9" s="8">
        <v>2309.0</v>
      </c>
      <c r="B9" s="3" t="s">
        <v>21</v>
      </c>
      <c r="C9" s="4" t="str">
        <f t="shared" si="1"/>
        <v>IMC 503</v>
      </c>
      <c r="D9" s="4">
        <v>28.0</v>
      </c>
      <c r="E9" s="5" t="str">
        <f t="shared" si="2"/>
        <v>30</v>
      </c>
      <c r="F9" s="6">
        <v>27.6</v>
      </c>
      <c r="G9" s="5" t="str">
        <f t="shared" si="3"/>
        <v>30</v>
      </c>
      <c r="H9" s="7">
        <f t="shared" si="4"/>
        <v>55.6</v>
      </c>
    </row>
    <row r="10">
      <c r="A10" s="8">
        <v>2310.0</v>
      </c>
      <c r="B10" s="3" t="s">
        <v>22</v>
      </c>
      <c r="C10" s="4" t="str">
        <f t="shared" si="1"/>
        <v>IMC 503</v>
      </c>
      <c r="D10" s="4">
        <v>25.5</v>
      </c>
      <c r="E10" s="5" t="str">
        <f t="shared" si="2"/>
        <v>30</v>
      </c>
      <c r="F10" s="6">
        <v>30.0</v>
      </c>
      <c r="G10" s="5" t="str">
        <f t="shared" si="3"/>
        <v>30</v>
      </c>
      <c r="H10" s="7">
        <f t="shared" si="4"/>
        <v>55.5</v>
      </c>
    </row>
    <row r="11">
      <c r="A11" s="8">
        <v>2312.0</v>
      </c>
      <c r="B11" s="3" t="s">
        <v>23</v>
      </c>
      <c r="C11" s="4" t="str">
        <f t="shared" si="1"/>
        <v>IMC 503</v>
      </c>
      <c r="D11" s="4">
        <v>26.0</v>
      </c>
      <c r="E11" s="5" t="str">
        <f t="shared" si="2"/>
        <v>30</v>
      </c>
      <c r="F11" s="6">
        <v>25.8</v>
      </c>
      <c r="G11" s="5" t="str">
        <f t="shared" si="3"/>
        <v>30</v>
      </c>
      <c r="H11" s="7">
        <f t="shared" si="4"/>
        <v>51.8</v>
      </c>
    </row>
    <row r="12">
      <c r="A12" s="8">
        <v>2313.0</v>
      </c>
      <c r="B12" s="3" t="s">
        <v>24</v>
      </c>
      <c r="C12" s="4" t="str">
        <f t="shared" si="1"/>
        <v>IMC 503</v>
      </c>
      <c r="D12" s="4">
        <v>25.5</v>
      </c>
      <c r="E12" s="5" t="str">
        <f t="shared" si="2"/>
        <v>30</v>
      </c>
      <c r="F12" s="6">
        <v>28.8</v>
      </c>
      <c r="G12" s="5" t="str">
        <f t="shared" si="3"/>
        <v>30</v>
      </c>
      <c r="H12" s="7">
        <f t="shared" si="4"/>
        <v>54.3</v>
      </c>
    </row>
    <row r="13">
      <c r="A13" s="8">
        <v>2314.0</v>
      </c>
      <c r="B13" s="3" t="s">
        <v>25</v>
      </c>
      <c r="C13" s="4" t="str">
        <f t="shared" si="1"/>
        <v>IMC 503</v>
      </c>
      <c r="D13" s="4">
        <v>23.0</v>
      </c>
      <c r="E13" s="5" t="str">
        <f t="shared" si="2"/>
        <v>30</v>
      </c>
      <c r="F13" s="6">
        <v>25.8</v>
      </c>
      <c r="G13" s="5" t="str">
        <f t="shared" si="3"/>
        <v>30</v>
      </c>
      <c r="H13" s="7">
        <f t="shared" si="4"/>
        <v>48.8</v>
      </c>
    </row>
    <row r="14">
      <c r="A14" s="8">
        <v>2315.0</v>
      </c>
      <c r="B14" s="3" t="s">
        <v>26</v>
      </c>
      <c r="C14" s="4" t="str">
        <f t="shared" si="1"/>
        <v>IMC 503</v>
      </c>
      <c r="D14" s="4">
        <v>23.5</v>
      </c>
      <c r="E14" s="5" t="str">
        <f t="shared" si="2"/>
        <v>30</v>
      </c>
      <c r="F14" s="6">
        <v>24.6</v>
      </c>
      <c r="G14" s="5" t="str">
        <f t="shared" si="3"/>
        <v>30</v>
      </c>
      <c r="H14" s="7">
        <f t="shared" si="4"/>
        <v>48.1</v>
      </c>
    </row>
    <row r="15">
      <c r="A15" s="8">
        <v>2316.0</v>
      </c>
      <c r="B15" s="3" t="s">
        <v>27</v>
      </c>
      <c r="C15" s="4" t="str">
        <f t="shared" si="1"/>
        <v>IMC 503</v>
      </c>
      <c r="D15" s="4">
        <v>27.5</v>
      </c>
      <c r="E15" s="5" t="str">
        <f t="shared" si="2"/>
        <v>30</v>
      </c>
      <c r="F15" s="6">
        <v>28.8</v>
      </c>
      <c r="G15" s="5" t="str">
        <f t="shared" si="3"/>
        <v>30</v>
      </c>
      <c r="H15" s="7">
        <f t="shared" si="4"/>
        <v>56.3</v>
      </c>
    </row>
    <row r="16">
      <c r="A16" s="8">
        <v>2317.0</v>
      </c>
      <c r="B16" s="3" t="s">
        <v>28</v>
      </c>
      <c r="C16" s="4" t="str">
        <f t="shared" si="1"/>
        <v>IMC 503</v>
      </c>
      <c r="D16" s="4">
        <v>25.5</v>
      </c>
      <c r="E16" s="5" t="str">
        <f t="shared" si="2"/>
        <v>30</v>
      </c>
      <c r="F16" s="6">
        <v>29.4</v>
      </c>
      <c r="G16" s="5" t="str">
        <f t="shared" si="3"/>
        <v>30</v>
      </c>
      <c r="H16" s="7">
        <f t="shared" si="4"/>
        <v>54.9</v>
      </c>
    </row>
    <row r="17">
      <c r="A17" s="8">
        <v>2318.0</v>
      </c>
      <c r="B17" s="3" t="s">
        <v>29</v>
      </c>
      <c r="C17" s="4" t="str">
        <f t="shared" si="1"/>
        <v>IMC 503</v>
      </c>
      <c r="D17" s="4">
        <v>28.0</v>
      </c>
      <c r="E17" s="5" t="str">
        <f t="shared" si="2"/>
        <v>30</v>
      </c>
      <c r="F17" s="6">
        <v>30.0</v>
      </c>
      <c r="G17" s="5" t="str">
        <f t="shared" si="3"/>
        <v>30</v>
      </c>
      <c r="H17" s="7">
        <f t="shared" si="4"/>
        <v>58</v>
      </c>
    </row>
    <row r="18">
      <c r="A18" s="8">
        <v>2319.0</v>
      </c>
      <c r="B18" s="3" t="s">
        <v>30</v>
      </c>
      <c r="C18" s="4" t="str">
        <f t="shared" si="1"/>
        <v>IMC 503</v>
      </c>
      <c r="D18" s="4">
        <v>28.5</v>
      </c>
      <c r="E18" s="5" t="str">
        <f t="shared" si="2"/>
        <v>30</v>
      </c>
      <c r="F18" s="6">
        <v>30.0</v>
      </c>
      <c r="G18" s="5" t="str">
        <f t="shared" si="3"/>
        <v>30</v>
      </c>
      <c r="H18" s="7">
        <f t="shared" si="4"/>
        <v>58.5</v>
      </c>
    </row>
    <row r="19">
      <c r="A19" s="8">
        <v>2320.0</v>
      </c>
      <c r="B19" s="3" t="s">
        <v>31</v>
      </c>
      <c r="C19" s="4" t="str">
        <f t="shared" si="1"/>
        <v>IMC 503</v>
      </c>
      <c r="D19" s="4">
        <v>28.0</v>
      </c>
      <c r="E19" s="5" t="str">
        <f t="shared" si="2"/>
        <v>30</v>
      </c>
      <c r="F19" s="6">
        <v>28.2</v>
      </c>
      <c r="G19" s="5" t="str">
        <f t="shared" si="3"/>
        <v>30</v>
      </c>
      <c r="H19" s="7">
        <f t="shared" si="4"/>
        <v>56.2</v>
      </c>
    </row>
    <row r="20">
      <c r="A20" s="8">
        <v>2321.0</v>
      </c>
      <c r="B20" s="3" t="s">
        <v>32</v>
      </c>
      <c r="C20" s="4" t="str">
        <f t="shared" si="1"/>
        <v>IMC 503</v>
      </c>
      <c r="D20" s="4">
        <v>27.0</v>
      </c>
      <c r="E20" s="5" t="str">
        <f t="shared" si="2"/>
        <v>30</v>
      </c>
      <c r="F20" s="6">
        <v>26.4</v>
      </c>
      <c r="G20" s="5" t="str">
        <f t="shared" si="3"/>
        <v>30</v>
      </c>
      <c r="H20" s="7">
        <f t="shared" si="4"/>
        <v>53.4</v>
      </c>
    </row>
    <row r="21">
      <c r="A21" s="8">
        <v>2322.0</v>
      </c>
      <c r="B21" s="3" t="s">
        <v>33</v>
      </c>
      <c r="C21" s="4" t="str">
        <f t="shared" si="1"/>
        <v>IMC 503</v>
      </c>
      <c r="D21" s="4">
        <v>27.5</v>
      </c>
      <c r="E21" s="5" t="str">
        <f t="shared" si="2"/>
        <v>30</v>
      </c>
      <c r="F21" s="6">
        <v>28.2</v>
      </c>
      <c r="G21" s="5" t="str">
        <f t="shared" si="3"/>
        <v>30</v>
      </c>
      <c r="H21" s="7">
        <f t="shared" si="4"/>
        <v>55.7</v>
      </c>
    </row>
    <row r="22">
      <c r="A22" s="8">
        <v>2323.0</v>
      </c>
      <c r="B22" s="3" t="s">
        <v>34</v>
      </c>
      <c r="C22" s="4" t="str">
        <f t="shared" si="1"/>
        <v>IMC 503</v>
      </c>
      <c r="D22" s="4">
        <v>25.0</v>
      </c>
      <c r="E22" s="5" t="str">
        <f t="shared" si="2"/>
        <v>30</v>
      </c>
      <c r="F22" s="6">
        <v>25.8</v>
      </c>
      <c r="G22" s="5" t="str">
        <f t="shared" si="3"/>
        <v>30</v>
      </c>
      <c r="H22" s="7">
        <f t="shared" si="4"/>
        <v>50.8</v>
      </c>
    </row>
    <row r="23">
      <c r="A23" s="8">
        <v>2324.0</v>
      </c>
      <c r="B23" s="3" t="s">
        <v>35</v>
      </c>
      <c r="C23" s="4" t="str">
        <f t="shared" si="1"/>
        <v>IMC 503</v>
      </c>
      <c r="D23" s="4">
        <v>26.0</v>
      </c>
      <c r="E23" s="5" t="str">
        <f t="shared" si="2"/>
        <v>30</v>
      </c>
      <c r="F23" s="6">
        <v>28.2</v>
      </c>
      <c r="G23" s="5" t="str">
        <f t="shared" si="3"/>
        <v>30</v>
      </c>
      <c r="H23" s="7">
        <f t="shared" si="4"/>
        <v>54.2</v>
      </c>
    </row>
    <row r="24">
      <c r="A24" s="8">
        <v>2325.0</v>
      </c>
      <c r="B24" s="3" t="s">
        <v>36</v>
      </c>
      <c r="C24" s="4" t="str">
        <f t="shared" si="1"/>
        <v>IMC 503</v>
      </c>
      <c r="D24" s="4">
        <v>22.5</v>
      </c>
      <c r="E24" s="5" t="str">
        <f t="shared" si="2"/>
        <v>30</v>
      </c>
      <c r="F24" s="6">
        <v>25.2</v>
      </c>
      <c r="G24" s="5" t="str">
        <f t="shared" si="3"/>
        <v>30</v>
      </c>
      <c r="H24" s="7">
        <f t="shared" si="4"/>
        <v>47.7</v>
      </c>
    </row>
    <row r="25">
      <c r="A25" s="8">
        <v>2326.0</v>
      </c>
      <c r="B25" s="3" t="s">
        <v>37</v>
      </c>
      <c r="C25" s="4" t="str">
        <f t="shared" si="1"/>
        <v>IMC 503</v>
      </c>
      <c r="D25" s="4">
        <v>28.5</v>
      </c>
      <c r="E25" s="5" t="str">
        <f t="shared" si="2"/>
        <v>30</v>
      </c>
      <c r="F25" s="6">
        <v>25.2</v>
      </c>
      <c r="G25" s="5" t="str">
        <f t="shared" si="3"/>
        <v>30</v>
      </c>
      <c r="H25" s="7">
        <f t="shared" si="4"/>
        <v>53.7</v>
      </c>
    </row>
    <row r="26">
      <c r="A26" s="8">
        <v>2327.0</v>
      </c>
      <c r="B26" s="3" t="s">
        <v>38</v>
      </c>
      <c r="C26" s="4" t="str">
        <f t="shared" si="1"/>
        <v>IMC 503</v>
      </c>
      <c r="D26" s="4">
        <v>22.0</v>
      </c>
      <c r="E26" s="5" t="str">
        <f t="shared" si="2"/>
        <v>30</v>
      </c>
      <c r="F26" s="6">
        <v>25.8</v>
      </c>
      <c r="G26" s="5" t="str">
        <f t="shared" si="3"/>
        <v>30</v>
      </c>
      <c r="H26" s="7">
        <f t="shared" si="4"/>
        <v>47.8</v>
      </c>
    </row>
    <row r="27">
      <c r="A27" s="8">
        <v>2328.0</v>
      </c>
      <c r="B27" s="3" t="s">
        <v>39</v>
      </c>
      <c r="C27" s="4" t="str">
        <f t="shared" si="1"/>
        <v>IMC 503</v>
      </c>
      <c r="D27" s="4">
        <v>26.0</v>
      </c>
      <c r="E27" s="5" t="str">
        <f t="shared" si="2"/>
        <v>30</v>
      </c>
      <c r="F27" s="6">
        <v>28.2</v>
      </c>
      <c r="G27" s="5" t="str">
        <f t="shared" si="3"/>
        <v>30</v>
      </c>
      <c r="H27" s="7">
        <f t="shared" si="4"/>
        <v>54.2</v>
      </c>
    </row>
    <row r="28">
      <c r="A28" s="8">
        <v>2329.0</v>
      </c>
      <c r="B28" s="3" t="s">
        <v>40</v>
      </c>
      <c r="C28" s="4" t="str">
        <f t="shared" si="1"/>
        <v>IMC 503</v>
      </c>
      <c r="D28" s="4">
        <v>24.5</v>
      </c>
      <c r="E28" s="5" t="str">
        <f t="shared" si="2"/>
        <v>30</v>
      </c>
      <c r="F28" s="6">
        <v>27.0</v>
      </c>
      <c r="G28" s="5" t="str">
        <f t="shared" si="3"/>
        <v>30</v>
      </c>
      <c r="H28" s="7">
        <f t="shared" si="4"/>
        <v>51.5</v>
      </c>
    </row>
    <row r="29">
      <c r="A29" s="8">
        <v>2330.0</v>
      </c>
      <c r="B29" s="3" t="s">
        <v>41</v>
      </c>
      <c r="C29" s="4" t="str">
        <f t="shared" si="1"/>
        <v>IMC 503</v>
      </c>
      <c r="D29" s="4">
        <v>26.0</v>
      </c>
      <c r="E29" s="5" t="str">
        <f t="shared" si="2"/>
        <v>30</v>
      </c>
      <c r="F29" s="6">
        <v>28.8</v>
      </c>
      <c r="G29" s="5" t="str">
        <f t="shared" si="3"/>
        <v>30</v>
      </c>
      <c r="H29" s="7">
        <f t="shared" si="4"/>
        <v>54.8</v>
      </c>
    </row>
    <row r="30">
      <c r="A30" s="8">
        <v>2332.0</v>
      </c>
      <c r="B30" s="3" t="s">
        <v>42</v>
      </c>
      <c r="C30" s="4" t="str">
        <f t="shared" si="1"/>
        <v>IMC 503</v>
      </c>
      <c r="D30" s="4">
        <v>19.0</v>
      </c>
      <c r="E30" s="5" t="str">
        <f t="shared" si="2"/>
        <v>30</v>
      </c>
      <c r="F30" s="6">
        <v>24.6</v>
      </c>
      <c r="G30" s="5" t="str">
        <f t="shared" si="3"/>
        <v>30</v>
      </c>
      <c r="H30" s="7">
        <f t="shared" si="4"/>
        <v>43.6</v>
      </c>
    </row>
    <row r="31">
      <c r="A31" s="8">
        <v>2333.0</v>
      </c>
      <c r="B31" s="3" t="s">
        <v>43</v>
      </c>
      <c r="C31" s="4" t="str">
        <f t="shared" si="1"/>
        <v>IMC 503</v>
      </c>
      <c r="D31" s="4">
        <v>24.5</v>
      </c>
      <c r="E31" s="5" t="str">
        <f t="shared" si="2"/>
        <v>30</v>
      </c>
      <c r="F31" s="6">
        <v>27.0</v>
      </c>
      <c r="G31" s="5" t="str">
        <f t="shared" si="3"/>
        <v>30</v>
      </c>
      <c r="H31" s="7">
        <f t="shared" si="4"/>
        <v>51.5</v>
      </c>
    </row>
  </sheetData>
  <drawing r:id="rId1"/>
</worksheet>
</file>